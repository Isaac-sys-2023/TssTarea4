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a\Desktop\"/>
    </mc:Choice>
  </mc:AlternateContent>
  <xr:revisionPtr revIDLastSave="0" documentId="13_ncr:1_{CDE57179-6B8E-422D-8996-27B69FF2337E}" xr6:coauthVersionLast="47" xr6:coauthVersionMax="47" xr10:uidLastSave="{00000000-0000-0000-0000-000000000000}"/>
  <bookViews>
    <workbookView xWindow="2685" yWindow="2850" windowWidth="24315" windowHeight="11400" tabRatio="745" activeTab="10" xr2:uid="{00000000-000D-0000-FFFF-FFFF00000000}"/>
  </bookViews>
  <sheets>
    <sheet name="Nacional" sheetId="1" r:id="rId1"/>
    <sheet name="La Paz" sheetId="2" r:id="rId2"/>
    <sheet name="Cochabamba" sheetId="3" r:id="rId3"/>
    <sheet name="Santa Cruz" sheetId="4" r:id="rId4"/>
    <sheet name="Chuquisaca" sheetId="5" r:id="rId5"/>
    <sheet name="Tarija" sheetId="6" r:id="rId6"/>
    <sheet name="Potosí" sheetId="7" r:id="rId7"/>
    <sheet name="Beni" sheetId="8" r:id="rId8"/>
    <sheet name="Pando" sheetId="9" r:id="rId9"/>
    <sheet name="Oruro" sheetId="10" r:id="rId10"/>
    <sheet name="Configuracion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G5" i="7"/>
  <c r="I4" i="4"/>
  <c r="E4" i="1"/>
  <c r="F4" i="10"/>
  <c r="H3" i="7"/>
  <c r="E3" i="4"/>
  <c r="F2" i="1"/>
  <c r="G2" i="10"/>
  <c r="I5" i="6"/>
  <c r="F5" i="3"/>
  <c r="E5" i="4"/>
  <c r="G2" i="8"/>
  <c r="I5" i="4"/>
  <c r="E5" i="1"/>
  <c r="F5" i="10"/>
  <c r="E3" i="7"/>
  <c r="G2" i="4"/>
  <c r="H5" i="7"/>
  <c r="F5" i="8"/>
  <c r="G4" i="5"/>
  <c r="F3" i="8"/>
  <c r="E5" i="8"/>
  <c r="F4" i="5"/>
  <c r="H3" i="2"/>
  <c r="G4" i="10"/>
  <c r="I3" i="7"/>
  <c r="F3" i="4"/>
  <c r="G2" i="1"/>
  <c r="H2" i="10"/>
  <c r="E2" i="7"/>
  <c r="G5" i="3"/>
  <c r="H4" i="1"/>
  <c r="I4" i="9"/>
  <c r="F4" i="6"/>
  <c r="H3" i="3"/>
  <c r="G5" i="10"/>
  <c r="I4" i="7"/>
  <c r="F4" i="4"/>
  <c r="G3" i="1"/>
  <c r="H3" i="10"/>
  <c r="G5" i="6"/>
  <c r="I4" i="3"/>
  <c r="H5" i="5"/>
  <c r="H3" i="8"/>
  <c r="G5" i="4"/>
  <c r="E4" i="5"/>
  <c r="G3" i="8"/>
  <c r="I2" i="5"/>
  <c r="E2" i="2"/>
  <c r="I5" i="9"/>
  <c r="E5" i="6"/>
  <c r="G4" i="3"/>
  <c r="F3" i="2"/>
  <c r="I2" i="8"/>
  <c r="H5" i="10"/>
  <c r="H3" i="1"/>
  <c r="F4" i="2"/>
  <c r="F4" i="9"/>
  <c r="G3" i="6"/>
  <c r="E3" i="8"/>
  <c r="E4" i="10"/>
  <c r="E4" i="8"/>
  <c r="H4" i="7"/>
  <c r="F2" i="2"/>
  <c r="I5" i="1"/>
  <c r="I2" i="10"/>
  <c r="F2" i="7"/>
  <c r="H5" i="3"/>
  <c r="I3" i="2"/>
  <c r="E5" i="9"/>
  <c r="G4" i="6"/>
  <c r="I3" i="3"/>
  <c r="I3" i="9"/>
  <c r="F3" i="9"/>
  <c r="H2" i="6"/>
  <c r="E2" i="3"/>
  <c r="I3" i="10"/>
  <c r="F3" i="7"/>
  <c r="H2" i="4"/>
  <c r="I4" i="1"/>
  <c r="E2" i="10"/>
  <c r="I3" i="6"/>
  <c r="F3" i="3"/>
  <c r="G3" i="2"/>
  <c r="E2" i="8"/>
  <c r="I3" i="4"/>
  <c r="H2" i="3"/>
  <c r="I5" i="7"/>
  <c r="F5" i="4"/>
  <c r="G4" i="1"/>
  <c r="F2" i="6"/>
  <c r="E5" i="10"/>
  <c r="F2" i="4"/>
  <c r="I4" i="10"/>
  <c r="H3" i="4"/>
  <c r="I2" i="1"/>
  <c r="H3" i="9"/>
  <c r="E4" i="7"/>
  <c r="E2" i="9"/>
  <c r="H4" i="2"/>
  <c r="F4" i="8"/>
  <c r="I2" i="2"/>
  <c r="E4" i="6"/>
  <c r="G5" i="9"/>
  <c r="H4" i="5"/>
  <c r="G3" i="10"/>
  <c r="E2" i="4"/>
  <c r="G5" i="5"/>
  <c r="H3" i="5"/>
  <c r="F4" i="1"/>
  <c r="E2" i="5"/>
  <c r="G2" i="6"/>
  <c r="F3" i="6"/>
  <c r="E3" i="5"/>
  <c r="E3" i="3"/>
  <c r="H4" i="8"/>
  <c r="G5" i="1"/>
  <c r="G4" i="4"/>
  <c r="I4" i="5"/>
  <c r="F3" i="1"/>
  <c r="E4" i="9"/>
  <c r="I5" i="10"/>
  <c r="G3" i="7"/>
  <c r="F3" i="5"/>
  <c r="E3" i="10"/>
  <c r="H2" i="9"/>
  <c r="F5" i="9"/>
  <c r="H4" i="6"/>
  <c r="E4" i="3"/>
  <c r="I4" i="8"/>
  <c r="G3" i="9"/>
  <c r="I2" i="6"/>
  <c r="F2" i="3"/>
  <c r="I4" i="6"/>
  <c r="I5" i="8"/>
  <c r="E5" i="5"/>
  <c r="G4" i="2"/>
  <c r="F2" i="10"/>
  <c r="H5" i="6"/>
  <c r="E5" i="3"/>
  <c r="E3" i="1"/>
  <c r="G4" i="9"/>
  <c r="H5" i="2"/>
  <c r="G4" i="7"/>
  <c r="F4" i="7"/>
  <c r="E3" i="6"/>
  <c r="G2" i="3"/>
  <c r="F5" i="5"/>
  <c r="I5" i="3"/>
  <c r="G3" i="5"/>
  <c r="H4" i="9"/>
  <c r="G3" i="3"/>
  <c r="G5" i="8"/>
  <c r="E4" i="2"/>
  <c r="I2" i="7"/>
  <c r="H4" i="3"/>
  <c r="F3" i="10"/>
  <c r="H2" i="7"/>
  <c r="H4" i="10"/>
  <c r="F2" i="9"/>
  <c r="I4" i="2"/>
  <c r="H2" i="5"/>
  <c r="E3" i="2"/>
  <c r="H2" i="8"/>
  <c r="F5" i="1"/>
  <c r="E3" i="9"/>
  <c r="I5" i="2"/>
  <c r="I3" i="8"/>
  <c r="G2" i="2"/>
  <c r="H5" i="9"/>
  <c r="G2" i="7"/>
  <c r="I3" i="5"/>
  <c r="F2" i="5"/>
  <c r="E5" i="7"/>
  <c r="H5" i="8"/>
  <c r="F4" i="3"/>
  <c r="H3" i="6"/>
  <c r="I2" i="3"/>
  <c r="G2" i="5"/>
  <c r="H4" i="4"/>
  <c r="I2" i="4"/>
  <c r="H2" i="2"/>
  <c r="I2" i="9"/>
  <c r="I5" i="5"/>
  <c r="G4" i="8"/>
  <c r="F5" i="6"/>
  <c r="F2" i="8"/>
  <c r="G3" i="4"/>
  <c r="F5" i="7"/>
  <c r="E4" i="4"/>
  <c r="E5" i="2"/>
  <c r="H5" i="4"/>
  <c r="G5" i="2"/>
  <c r="H5" i="1"/>
  <c r="I3" i="1"/>
  <c r="G2" i="9"/>
  <c r="H2" i="1"/>
  <c r="E2" i="6"/>
  <c r="F5" i="2"/>
  <c r="J2" i="6" l="1"/>
  <c r="J5" i="2"/>
  <c r="J4" i="4"/>
  <c r="J5" i="7"/>
  <c r="J3" i="9"/>
  <c r="J3" i="2"/>
  <c r="J4" i="2"/>
  <c r="J3" i="6"/>
  <c r="J3" i="1"/>
  <c r="J5" i="3"/>
  <c r="J5" i="5"/>
  <c r="J4" i="3"/>
  <c r="J3" i="10"/>
  <c r="J4" i="9"/>
  <c r="J3" i="3"/>
  <c r="J3" i="5"/>
  <c r="J2" i="5"/>
  <c r="J2" i="4"/>
  <c r="J4" i="6"/>
  <c r="J2" i="9"/>
  <c r="J4" i="7"/>
  <c r="J5" i="10"/>
  <c r="J2" i="8"/>
  <c r="J2" i="10"/>
  <c r="J2" i="3"/>
  <c r="J5" i="9"/>
  <c r="J4" i="8"/>
  <c r="J4" i="10"/>
  <c r="J3" i="8"/>
  <c r="J5" i="6"/>
  <c r="J2" i="2"/>
  <c r="J4" i="5"/>
  <c r="J2" i="7"/>
  <c r="J5" i="8"/>
  <c r="J3" i="7"/>
  <c r="J5" i="1"/>
  <c r="J5" i="4"/>
  <c r="J3" i="4"/>
  <c r="J4" i="1"/>
  <c r="J2" i="1"/>
</calcChain>
</file>

<file path=xl/sharedStrings.xml><?xml version="1.0" encoding="utf-8"?>
<sst xmlns="http://schemas.openxmlformats.org/spreadsheetml/2006/main" count="181" uniqueCount="19">
  <si>
    <t>Partido</t>
  </si>
  <si>
    <t>Media</t>
  </si>
  <si>
    <t>Desviación</t>
  </si>
  <si>
    <t>Color</t>
  </si>
  <si>
    <t>Sim 1</t>
  </si>
  <si>
    <t>Sim 2</t>
  </si>
  <si>
    <t>Sim 3</t>
  </si>
  <si>
    <t>Sim 4</t>
  </si>
  <si>
    <t>Sim 5</t>
  </si>
  <si>
    <t>Prom Voto (%)</t>
  </si>
  <si>
    <t>MAS</t>
  </si>
  <si>
    <t>#1A237E</t>
  </si>
  <si>
    <t>UNIDAD</t>
  </si>
  <si>
    <t>#388E3C</t>
  </si>
  <si>
    <t>ALIANZA LIBRE</t>
  </si>
  <si>
    <t>#D32F2F</t>
  </si>
  <si>
    <t>SUMATE</t>
  </si>
  <si>
    <t>#FBC02D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</si>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</sst>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5"/>
  <sheetViews>
    <sheetView workbookViewId="0">
      <selection activeCell="E2" sqref="E2"/>
    </sheetView>
  </sheetViews>
  <sheetFormatPr baseColWidth="10" defaultColWidth="9.14062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>
        <v>40</v>
      </c>
      <c r="C2">
        <v>5</v>
      </c>
      <c r="D2" t="s">
        <v>11</v>
      </c>
      <c r="E2">
        <f>BoxMullerGaussian(Configuracion!$B$1, 1, B2, C2)</f>
        <v>48.277435585019887</v>
      </c>
      <c r="F2">
        <f>BoxMullerGaussian(Configuracion!$B$1, 2, B2, C2)</f>
        <v>39.316481240631227</v>
      </c>
      <c r="G2">
        <f>BoxMullerGaussian(Configuracion!$B$1, 3, B2, C2)</f>
        <v>42.597766241645893</v>
      </c>
      <c r="H2">
        <f>BoxMullerGaussian(Configuracion!$B$1, 4, B2, C2)</f>
        <v>36.938948643134275</v>
      </c>
      <c r="I2">
        <f>BoxMullerGaussian(Configuracion!$B$1, 5, B2, C2)</f>
        <v>41.389887083850319</v>
      </c>
      <c r="J2">
        <f>AVERAGE(E2:I2)</f>
        <v>41.70410375885632</v>
      </c>
    </row>
    <row r="3" spans="1:10" x14ac:dyDescent="0.25">
      <c r="A3" t="s">
        <v>12</v>
      </c>
      <c r="B3">
        <v>30</v>
      </c>
      <c r="C3">
        <v>5</v>
      </c>
      <c r="D3" t="s">
        <v>13</v>
      </c>
      <c r="E3">
        <f>BoxMullerGaussian(Configuracion!$B$1, 1, B3, C3)</f>
        <v>26.068925753640723</v>
      </c>
      <c r="F3">
        <f>BoxMullerGaussian(Configuracion!$B$1, 2, B3, C3)</f>
        <v>28.955630088479626</v>
      </c>
      <c r="G3">
        <f>BoxMullerGaussian(Configuracion!$B$1, 3, B3, C3)</f>
        <v>29.382651317711218</v>
      </c>
      <c r="H3">
        <f>BoxMullerGaussian(Configuracion!$B$1, 4, B3, C3)</f>
        <v>31.212735505000037</v>
      </c>
      <c r="I3">
        <f>BoxMullerGaussian(Configuracion!$B$1, 5, B3, C3)</f>
        <v>30.721949260457663</v>
      </c>
      <c r="J3">
        <f>AVERAGE(E3:I3)</f>
        <v>29.268378385057854</v>
      </c>
    </row>
    <row r="4" spans="1:10" x14ac:dyDescent="0.25">
      <c r="A4" t="s">
        <v>14</v>
      </c>
      <c r="B4">
        <v>20</v>
      </c>
      <c r="C4">
        <v>3</v>
      </c>
      <c r="D4" t="s">
        <v>15</v>
      </c>
      <c r="E4">
        <f>BoxMullerGaussian(Configuracion!$B$1, 1, B4, C4)</f>
        <v>19.43323081740601</v>
      </c>
      <c r="F4">
        <f>BoxMullerGaussian(Configuracion!$B$1, 2, B4, C4)</f>
        <v>16.045551537117863</v>
      </c>
      <c r="G4">
        <f>BoxMullerGaussian(Configuracion!$B$1, 3, B4, C4)</f>
        <v>14.557758836322032</v>
      </c>
      <c r="H4">
        <f>BoxMullerGaussian(Configuracion!$B$1, 4, B4, C4)</f>
        <v>18.178476525813551</v>
      </c>
      <c r="I4">
        <f>BoxMullerGaussian(Configuracion!$B$1, 5, B4, C4)</f>
        <v>20.172970281030818</v>
      </c>
      <c r="J4">
        <f>AVERAGE(E4:I4)</f>
        <v>17.677597599538053</v>
      </c>
    </row>
    <row r="5" spans="1:10" x14ac:dyDescent="0.25">
      <c r="A5" t="s">
        <v>16</v>
      </c>
      <c r="B5">
        <v>15</v>
      </c>
      <c r="C5">
        <v>4</v>
      </c>
      <c r="D5" t="s">
        <v>17</v>
      </c>
      <c r="E5">
        <f>BoxMullerGaussian(Configuracion!$B$1, 1, B5, C5)</f>
        <v>12.355305028254882</v>
      </c>
      <c r="F5">
        <f>BoxMullerGaussian(Configuracion!$B$1, 2, B5, C5)</f>
        <v>14.958462694882131</v>
      </c>
      <c r="G5">
        <f>BoxMullerGaussian(Configuracion!$B$1, 3, B5, C5)</f>
        <v>15.913061285112187</v>
      </c>
      <c r="H5">
        <f>BoxMullerGaussian(Configuracion!$B$1, 4, B5, C5)</f>
        <v>19.943273214825702</v>
      </c>
      <c r="I5">
        <f>BoxMullerGaussian(Configuracion!$B$1, 5, B5, C5)</f>
        <v>11.019755680209371</v>
      </c>
      <c r="J5">
        <f>AVERAGE(E5:I5)</f>
        <v>14.837971580656852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5"/>
  <sheetViews>
    <sheetView workbookViewId="0">
      <selection activeCell="E2" sqref="E2"/>
    </sheetView>
  </sheetViews>
  <sheetFormatPr baseColWidth="10" defaultColWidth="9.14062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>
        <v>40</v>
      </c>
      <c r="C2">
        <v>5</v>
      </c>
      <c r="D2" t="s">
        <v>11</v>
      </c>
      <c r="E2">
        <f>BoxMullerGaussian(Configuracion!$B$1, 1, B2, C2)</f>
        <v>40.658357564214988</v>
      </c>
      <c r="F2">
        <f>BoxMullerGaussian(Configuracion!$B$1, 2, B2, C2)</f>
        <v>42.139869985467826</v>
      </c>
      <c r="G2">
        <f>BoxMullerGaussian(Configuracion!$B$1, 3, B2, C2)</f>
        <v>37.397625388153457</v>
      </c>
      <c r="H2">
        <f>BoxMullerGaussian(Configuracion!$B$1, 4, B2, C2)</f>
        <v>38.861736862440097</v>
      </c>
      <c r="I2">
        <f>BoxMullerGaussian(Configuracion!$B$1, 5, B2, C2)</f>
        <v>42.600942914080527</v>
      </c>
      <c r="J2">
        <f>AVERAGE(E2:I2)</f>
        <v>40.33170654287138</v>
      </c>
    </row>
    <row r="3" spans="1:10" x14ac:dyDescent="0.25">
      <c r="A3" t="s">
        <v>12</v>
      </c>
      <c r="B3">
        <v>30</v>
      </c>
      <c r="C3">
        <v>5</v>
      </c>
      <c r="D3" t="s">
        <v>13</v>
      </c>
      <c r="E3">
        <f>BoxMullerGaussian(Configuracion!$B$1, 1, B3, C3)</f>
        <v>37.501163352581592</v>
      </c>
      <c r="F3">
        <f>BoxMullerGaussian(Configuracion!$B$1, 2, B3, C3)</f>
        <v>28.676201593071234</v>
      </c>
      <c r="G3">
        <f>BoxMullerGaussian(Configuracion!$B$1, 3, B3, C3)</f>
        <v>31.732193516904761</v>
      </c>
      <c r="H3">
        <f>BoxMullerGaussian(Configuracion!$B$1, 4, B3, C3)</f>
        <v>25.521470268748036</v>
      </c>
      <c r="I3">
        <f>BoxMullerGaussian(Configuracion!$B$1, 5, B3, C3)</f>
        <v>32.742744633679052</v>
      </c>
      <c r="J3">
        <f>AVERAGE(E3:I3)</f>
        <v>31.234754672996935</v>
      </c>
    </row>
    <row r="4" spans="1:10" x14ac:dyDescent="0.25">
      <c r="A4" t="s">
        <v>14</v>
      </c>
      <c r="B4">
        <v>20</v>
      </c>
      <c r="C4">
        <v>3</v>
      </c>
      <c r="D4" t="s">
        <v>15</v>
      </c>
      <c r="E4">
        <f>BoxMullerGaussian(Configuracion!$B$1, 1, B4, C4)</f>
        <v>18.837382443469622</v>
      </c>
      <c r="F4">
        <f>BoxMullerGaussian(Configuracion!$B$1, 2, B4, C4)</f>
        <v>15.778764533891676</v>
      </c>
      <c r="G4">
        <f>BoxMullerGaussian(Configuracion!$B$1, 3, B4, C4)</f>
        <v>18.33392730368826</v>
      </c>
      <c r="H4">
        <f>BoxMullerGaussian(Configuracion!$B$1, 4, B4, C4)</f>
        <v>20.326372981192215</v>
      </c>
      <c r="I4">
        <f>BoxMullerGaussian(Configuracion!$B$1, 5, B4, C4)</f>
        <v>18.936058386950325</v>
      </c>
      <c r="J4">
        <f>AVERAGE(E4:I4)</f>
        <v>18.442501129838416</v>
      </c>
    </row>
    <row r="5" spans="1:10" x14ac:dyDescent="0.25">
      <c r="A5" t="s">
        <v>16</v>
      </c>
      <c r="B5">
        <v>15</v>
      </c>
      <c r="C5">
        <v>4</v>
      </c>
      <c r="D5" t="s">
        <v>17</v>
      </c>
      <c r="E5">
        <f>BoxMullerGaussian(Configuracion!$B$1, 1, B5, C5)</f>
        <v>20.031203083197337</v>
      </c>
      <c r="F5">
        <f>BoxMullerGaussian(Configuracion!$B$1, 2, B5, C5)</f>
        <v>19.330512300801455</v>
      </c>
      <c r="G5">
        <f>BoxMullerGaussian(Configuracion!$B$1, 3, B5, C5)</f>
        <v>18.897729044659627</v>
      </c>
      <c r="H5">
        <f>BoxMullerGaussian(Configuracion!$B$1, 4, B5, C5)</f>
        <v>15.885948057908049</v>
      </c>
      <c r="I5">
        <f>BoxMullerGaussian(Configuracion!$B$1, 5, B5, C5)</f>
        <v>11.977350072797611</v>
      </c>
      <c r="J5">
        <f>AVERAGE(E5:I5)</f>
        <v>17.224548511872815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5"/>
  <sheetViews>
    <sheetView workbookViewId="0">
      <selection activeCell="E2" sqref="E2"/>
    </sheetView>
  </sheetViews>
  <sheetFormatPr baseColWidth="10" defaultColWidth="9.14062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>
        <v>40</v>
      </c>
      <c r="C2">
        <v>5</v>
      </c>
      <c r="D2" t="s">
        <v>11</v>
      </c>
      <c r="E2">
        <f>BoxMullerGaussian(Configuracion!$B$1, 1, B2, C2)</f>
        <v>39.565106837615026</v>
      </c>
      <c r="F2">
        <f>BoxMullerGaussian(Configuracion!$B$1, 2, B2, C2)</f>
        <v>44.659928266566581</v>
      </c>
      <c r="G2">
        <f>BoxMullerGaussian(Configuracion!$B$1, 3, B2, C2)</f>
        <v>40.652459721820655</v>
      </c>
      <c r="H2">
        <f>BoxMullerGaussian(Configuracion!$B$1, 4, B2, C2)</f>
        <v>49.55304170952283</v>
      </c>
      <c r="I2">
        <f>BoxMullerGaussian(Configuracion!$B$1, 5, B2, C2)</f>
        <v>41.520061060961211</v>
      </c>
      <c r="J2">
        <f>AVERAGE(E2:I2)</f>
        <v>43.190119519297262</v>
      </c>
    </row>
    <row r="3" spans="1:10" x14ac:dyDescent="0.25">
      <c r="A3" t="s">
        <v>12</v>
      </c>
      <c r="B3">
        <v>30</v>
      </c>
      <c r="C3">
        <v>5</v>
      </c>
      <c r="D3" t="s">
        <v>13</v>
      </c>
      <c r="E3">
        <f>BoxMullerGaussian(Configuracion!$B$1, 1, B3, C3)</f>
        <v>33.853341070112535</v>
      </c>
      <c r="F3">
        <f>BoxMullerGaussian(Configuracion!$B$1, 2, B3, C3)</f>
        <v>33.220936552057438</v>
      </c>
      <c r="G3">
        <f>BoxMullerGaussian(Configuracion!$B$1, 3, B3, C3)</f>
        <v>32.547844173910057</v>
      </c>
      <c r="H3">
        <f>BoxMullerGaussian(Configuracion!$B$1, 4, B3, C3)</f>
        <v>23.989860401000165</v>
      </c>
      <c r="I3">
        <f>BoxMullerGaussian(Configuracion!$B$1, 5, B3, C3)</f>
        <v>15.202641438608195</v>
      </c>
      <c r="J3">
        <f>AVERAGE(E3:I3)</f>
        <v>27.762924727137676</v>
      </c>
    </row>
    <row r="4" spans="1:10" x14ac:dyDescent="0.25">
      <c r="A4" t="s">
        <v>14</v>
      </c>
      <c r="B4">
        <v>20</v>
      </c>
      <c r="C4">
        <v>3</v>
      </c>
      <c r="D4" t="s">
        <v>15</v>
      </c>
      <c r="E4">
        <f>BoxMullerGaussian(Configuracion!$B$1, 1, B4, C4)</f>
        <v>15.411490499098967</v>
      </c>
      <c r="F4">
        <f>BoxMullerGaussian(Configuracion!$B$1, 2, B4, C4)</f>
        <v>27.237344132244026</v>
      </c>
      <c r="G4">
        <f>BoxMullerGaussian(Configuracion!$B$1, 3, B4, C4)</f>
        <v>19.199412950686693</v>
      </c>
      <c r="H4">
        <f>BoxMullerGaussian(Configuracion!$B$1, 4, B4, C4)</f>
        <v>17.569433897787427</v>
      </c>
      <c r="I4">
        <f>BoxMullerGaussian(Configuracion!$B$1, 5, B4, C4)</f>
        <v>19.108086636105178</v>
      </c>
      <c r="J4">
        <f>AVERAGE(E4:I4)</f>
        <v>19.705153623184458</v>
      </c>
    </row>
    <row r="5" spans="1:10" x14ac:dyDescent="0.25">
      <c r="A5" t="s">
        <v>16</v>
      </c>
      <c r="B5">
        <v>15</v>
      </c>
      <c r="C5">
        <v>4</v>
      </c>
      <c r="D5" t="s">
        <v>17</v>
      </c>
      <c r="E5">
        <f>BoxMullerGaussian(Configuracion!$B$1, 1, B5, C5)</f>
        <v>14.053752464779629</v>
      </c>
      <c r="F5">
        <f>BoxMullerGaussian(Configuracion!$B$1, 2, B5, C5)</f>
        <v>12.726397197116325</v>
      </c>
      <c r="G5">
        <f>BoxMullerGaussian(Configuracion!$B$1, 3, B5, C5)</f>
        <v>10.837100755469034</v>
      </c>
      <c r="H5">
        <f>BoxMullerGaussian(Configuracion!$B$1, 4, B5, C5)</f>
        <v>11.09050175739902</v>
      </c>
      <c r="I5">
        <f>BoxMullerGaussian(Configuracion!$B$1, 5, B5, C5)</f>
        <v>12.866430098096282</v>
      </c>
      <c r="J5">
        <f>AVERAGE(E5:I5)</f>
        <v>12.314836454572056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J5"/>
  <sheetViews>
    <sheetView workbookViewId="0">
      <selection activeCell="E2" sqref="E2"/>
    </sheetView>
  </sheetViews>
  <sheetFormatPr baseColWidth="10" defaultColWidth="9.14062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>
        <v>40</v>
      </c>
      <c r="C2">
        <v>5</v>
      </c>
      <c r="D2" t="s">
        <v>11</v>
      </c>
      <c r="E2">
        <f>BoxMullerGaussian(Configuracion!$B$1, 1, B2, C2)</f>
        <v>39.855200132607244</v>
      </c>
      <c r="F2">
        <f>BoxMullerGaussian(Configuracion!$B$1, 2, B2, C2)</f>
        <v>38.096548445674848</v>
      </c>
      <c r="G2">
        <f>BoxMullerGaussian(Configuracion!$B$1, 3, B2, C2)</f>
        <v>41.519417282381255</v>
      </c>
      <c r="H2">
        <f>BoxMullerGaussian(Configuracion!$B$1, 4, B2, C2)</f>
        <v>39.031357990356199</v>
      </c>
      <c r="I2">
        <f>BoxMullerGaussian(Configuracion!$B$1, 5, B2, C2)</f>
        <v>39.515355636341383</v>
      </c>
      <c r="J2">
        <f>AVERAGE(E2:I2)</f>
        <v>39.603575897472183</v>
      </c>
    </row>
    <row r="3" spans="1:10" x14ac:dyDescent="0.25">
      <c r="A3" t="s">
        <v>12</v>
      </c>
      <c r="B3">
        <v>30</v>
      </c>
      <c r="C3">
        <v>5</v>
      </c>
      <c r="D3" t="s">
        <v>13</v>
      </c>
      <c r="E3">
        <f>BoxMullerGaussian(Configuracion!$B$1, 1, B3, C3)</f>
        <v>30.618601397519448</v>
      </c>
      <c r="F3">
        <f>BoxMullerGaussian(Configuracion!$B$1, 2, B3, C3)</f>
        <v>29.96865726874308</v>
      </c>
      <c r="G3">
        <f>BoxMullerGaussian(Configuracion!$B$1, 3, B3, C3)</f>
        <v>30.262402750526096</v>
      </c>
      <c r="H3">
        <f>BoxMullerGaussian(Configuracion!$B$1, 4, B3, C3)</f>
        <v>40.618949801268705</v>
      </c>
      <c r="I3">
        <f>BoxMullerGaussian(Configuracion!$B$1, 5, B3, C3)</f>
        <v>25.745124615247498</v>
      </c>
      <c r="J3">
        <f>AVERAGE(E3:I3)</f>
        <v>31.442747166660968</v>
      </c>
    </row>
    <row r="4" spans="1:10" x14ac:dyDescent="0.25">
      <c r="A4" t="s">
        <v>14</v>
      </c>
      <c r="B4">
        <v>20</v>
      </c>
      <c r="C4">
        <v>3</v>
      </c>
      <c r="D4" t="s">
        <v>15</v>
      </c>
      <c r="E4">
        <f>BoxMullerGaussian(Configuracion!$B$1, 1, B4, C4)</f>
        <v>22.676167521977376</v>
      </c>
      <c r="F4">
        <f>BoxMullerGaussian(Configuracion!$B$1, 2, B4, C4)</f>
        <v>16.684744015338563</v>
      </c>
      <c r="G4">
        <f>BoxMullerGaussian(Configuracion!$B$1, 3, B4, C4)</f>
        <v>22.806266187147138</v>
      </c>
      <c r="H4">
        <f>BoxMullerGaussian(Configuracion!$B$1, 4, B4, C4)</f>
        <v>25.215765803287148</v>
      </c>
      <c r="I4">
        <f>BoxMullerGaussian(Configuracion!$B$1, 5, B4, C4)</f>
        <v>17.396989300292848</v>
      </c>
      <c r="J4">
        <f>AVERAGE(E4:I4)</f>
        <v>20.955986565608615</v>
      </c>
    </row>
    <row r="5" spans="1:10" x14ac:dyDescent="0.25">
      <c r="A5" t="s">
        <v>16</v>
      </c>
      <c r="B5">
        <v>15</v>
      </c>
      <c r="C5">
        <v>4</v>
      </c>
      <c r="D5" t="s">
        <v>17</v>
      </c>
      <c r="E5">
        <f>BoxMullerGaussian(Configuracion!$B$1, 1, B5, C5)</f>
        <v>8.1632798895749996</v>
      </c>
      <c r="F5">
        <f>BoxMullerGaussian(Configuracion!$B$1, 2, B5, C5)</f>
        <v>10.922867712930209</v>
      </c>
      <c r="G5">
        <f>BoxMullerGaussian(Configuracion!$B$1, 3, B5, C5)</f>
        <v>14.92764393726714</v>
      </c>
      <c r="H5">
        <f>BoxMullerGaussian(Configuracion!$B$1, 4, B5, C5)</f>
        <v>8.3521778763621732</v>
      </c>
      <c r="I5">
        <f>BoxMullerGaussian(Configuracion!$B$1, 5, B5, C5)</f>
        <v>16.819686631455973</v>
      </c>
      <c r="J5">
        <f>AVERAGE(E5:I5)</f>
        <v>11.837131209518098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5"/>
  <sheetViews>
    <sheetView workbookViewId="0">
      <selection activeCell="E2" sqref="E2"/>
    </sheetView>
  </sheetViews>
  <sheetFormatPr baseColWidth="10" defaultColWidth="9.14062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>
        <v>40</v>
      </c>
      <c r="C2">
        <v>5</v>
      </c>
      <c r="D2" t="s">
        <v>11</v>
      </c>
      <c r="E2">
        <f>BoxMullerGaussian(Configuracion!$B$1, 1, B2, C2)</f>
        <v>45.962294648398611</v>
      </c>
      <c r="F2">
        <f>BoxMullerGaussian(Configuracion!$B$1, 2, B2, C2)</f>
        <v>42.442090002555616</v>
      </c>
      <c r="G2">
        <f>BoxMullerGaussian(Configuracion!$B$1, 3, B2, C2)</f>
        <v>30.159536076334874</v>
      </c>
      <c r="H2">
        <f>BoxMullerGaussian(Configuracion!$B$1, 4, B2, C2)</f>
        <v>33.953041533123034</v>
      </c>
      <c r="I2">
        <f>BoxMullerGaussian(Configuracion!$B$1, 5, B2, C2)</f>
        <v>39.183613019432777</v>
      </c>
      <c r="J2">
        <f>AVERAGE(E2:I2)</f>
        <v>38.34011505596898</v>
      </c>
    </row>
    <row r="3" spans="1:10" x14ac:dyDescent="0.25">
      <c r="A3" t="s">
        <v>12</v>
      </c>
      <c r="B3">
        <v>30</v>
      </c>
      <c r="C3">
        <v>5</v>
      </c>
      <c r="D3" t="s">
        <v>13</v>
      </c>
      <c r="E3">
        <f>BoxMullerGaussian(Configuracion!$B$1, 1, B3, C3)</f>
        <v>29.713441985295464</v>
      </c>
      <c r="F3">
        <f>BoxMullerGaussian(Configuracion!$B$1, 2, B3, C3)</f>
        <v>28.750626258522765</v>
      </c>
      <c r="G3">
        <f>BoxMullerGaussian(Configuracion!$B$1, 3, B3, C3)</f>
        <v>24.490677188905767</v>
      </c>
      <c r="H3">
        <f>BoxMullerGaussian(Configuracion!$B$1, 4, B3, C3)</f>
        <v>33.378580085892409</v>
      </c>
      <c r="I3">
        <f>BoxMullerGaussian(Configuracion!$B$1, 5, B3, C3)</f>
        <v>24.10286479756385</v>
      </c>
      <c r="J3">
        <f>AVERAGE(E3:I3)</f>
        <v>28.08723806323605</v>
      </c>
    </row>
    <row r="4" spans="1:10" x14ac:dyDescent="0.25">
      <c r="A4" t="s">
        <v>14</v>
      </c>
      <c r="B4">
        <v>20</v>
      </c>
      <c r="C4">
        <v>3</v>
      </c>
      <c r="D4" t="s">
        <v>15</v>
      </c>
      <c r="E4">
        <f>BoxMullerGaussian(Configuracion!$B$1, 1, B4, C4)</f>
        <v>16.314337337188228</v>
      </c>
      <c r="F4">
        <f>BoxMullerGaussian(Configuracion!$B$1, 2, B4, C4)</f>
        <v>17.739457181491215</v>
      </c>
      <c r="G4">
        <f>BoxMullerGaussian(Configuracion!$B$1, 3, B4, C4)</f>
        <v>19.563348790258413</v>
      </c>
      <c r="H4">
        <f>BoxMullerGaussian(Configuracion!$B$1, 4, B4, C4)</f>
        <v>18.054056907915069</v>
      </c>
      <c r="I4">
        <f>BoxMullerGaussian(Configuracion!$B$1, 5, B4, C4)</f>
        <v>13.45921638219931</v>
      </c>
      <c r="J4">
        <f>AVERAGE(E4:I4)</f>
        <v>17.026083319810446</v>
      </c>
    </row>
    <row r="5" spans="1:10" x14ac:dyDescent="0.25">
      <c r="A5" t="s">
        <v>16</v>
      </c>
      <c r="B5">
        <v>15</v>
      </c>
      <c r="C5">
        <v>4</v>
      </c>
      <c r="D5" t="s">
        <v>17</v>
      </c>
      <c r="E5">
        <f>BoxMullerGaussian(Configuracion!$B$1, 1, B5, C5)</f>
        <v>24.115580782900409</v>
      </c>
      <c r="F5">
        <f>BoxMullerGaussian(Configuracion!$B$1, 2, B5, C5)</f>
        <v>17.567857740416081</v>
      </c>
      <c r="G5">
        <f>BoxMullerGaussian(Configuracion!$B$1, 3, B5, C5)</f>
        <v>12.482784307849043</v>
      </c>
      <c r="H5">
        <f>BoxMullerGaussian(Configuracion!$B$1, 4, B5, C5)</f>
        <v>9.5838260037782383</v>
      </c>
      <c r="I5">
        <f>BoxMullerGaussian(Configuracion!$B$1, 5, B5, C5)</f>
        <v>10.60056561246993</v>
      </c>
      <c r="J5">
        <f>AVERAGE(E5:I5)</f>
        <v>14.87012288948274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J5"/>
  <sheetViews>
    <sheetView workbookViewId="0">
      <selection activeCell="E2" sqref="E2"/>
    </sheetView>
  </sheetViews>
  <sheetFormatPr baseColWidth="10" defaultColWidth="9.14062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>
        <v>40</v>
      </c>
      <c r="C2">
        <v>5</v>
      </c>
      <c r="D2" t="s">
        <v>11</v>
      </c>
      <c r="E2">
        <f>BoxMullerGaussian(Configuracion!$B$1, 1, B2, C2)</f>
        <v>37.865195161171506</v>
      </c>
      <c r="F2">
        <f>BoxMullerGaussian(Configuracion!$B$1, 2, B2, C2)</f>
        <v>36.307133807447691</v>
      </c>
      <c r="G2">
        <f>BoxMullerGaussian(Configuracion!$B$1, 3, B2, C2)</f>
        <v>31.739282726051741</v>
      </c>
      <c r="H2">
        <f>BoxMullerGaussian(Configuracion!$B$1, 4, B2, C2)</f>
        <v>38.635500082043471</v>
      </c>
      <c r="I2">
        <f>BoxMullerGaussian(Configuracion!$B$1, 5, B2, C2)</f>
        <v>38.21804200898039</v>
      </c>
      <c r="J2">
        <f>AVERAGE(E2:I2)</f>
        <v>36.553030757138956</v>
      </c>
    </row>
    <row r="3" spans="1:10" x14ac:dyDescent="0.25">
      <c r="A3" t="s">
        <v>12</v>
      </c>
      <c r="B3">
        <v>30</v>
      </c>
      <c r="C3">
        <v>5</v>
      </c>
      <c r="D3" t="s">
        <v>13</v>
      </c>
      <c r="E3">
        <f>BoxMullerGaussian(Configuracion!$B$1, 1, B3, C3)</f>
        <v>30.006140376168418</v>
      </c>
      <c r="F3">
        <f>BoxMullerGaussian(Configuracion!$B$1, 2, B3, C3)</f>
        <v>29.348299644867673</v>
      </c>
      <c r="G3">
        <f>BoxMullerGaussian(Configuracion!$B$1, 3, B3, C3)</f>
        <v>19.772726608313857</v>
      </c>
      <c r="H3">
        <f>BoxMullerGaussian(Configuracion!$B$1, 4, B3, C3)</f>
        <v>35.023677234777317</v>
      </c>
      <c r="I3">
        <f>BoxMullerGaussian(Configuracion!$B$1, 5, B3, C3)</f>
        <v>35.944422045659614</v>
      </c>
      <c r="J3">
        <f>AVERAGE(E3:I3)</f>
        <v>30.019053181957378</v>
      </c>
    </row>
    <row r="4" spans="1:10" x14ac:dyDescent="0.25">
      <c r="A4" t="s">
        <v>14</v>
      </c>
      <c r="B4">
        <v>20</v>
      </c>
      <c r="C4">
        <v>3</v>
      </c>
      <c r="D4" t="s">
        <v>15</v>
      </c>
      <c r="E4">
        <f>BoxMullerGaussian(Configuracion!$B$1, 1, B4, C4)</f>
        <v>20.683242972314801</v>
      </c>
      <c r="F4">
        <f>BoxMullerGaussian(Configuracion!$B$1, 2, B4, C4)</f>
        <v>17.982218132308457</v>
      </c>
      <c r="G4">
        <f>BoxMullerGaussian(Configuracion!$B$1, 3, B4, C4)</f>
        <v>20.252681042695038</v>
      </c>
      <c r="H4">
        <f>BoxMullerGaussian(Configuracion!$B$1, 4, B4, C4)</f>
        <v>22.671812766139237</v>
      </c>
      <c r="I4">
        <f>BoxMullerGaussian(Configuracion!$B$1, 5, B4, C4)</f>
        <v>19.32277878116685</v>
      </c>
      <c r="J4">
        <f>AVERAGE(E4:I4)</f>
        <v>20.182546738924877</v>
      </c>
    </row>
    <row r="5" spans="1:10" x14ac:dyDescent="0.25">
      <c r="A5" t="s">
        <v>16</v>
      </c>
      <c r="B5">
        <v>15</v>
      </c>
      <c r="C5">
        <v>4</v>
      </c>
      <c r="D5" t="s">
        <v>17</v>
      </c>
      <c r="E5">
        <f>BoxMullerGaussian(Configuracion!$B$1, 1, B5, C5)</f>
        <v>7.569574840147963</v>
      </c>
      <c r="F5">
        <f>BoxMullerGaussian(Configuracion!$B$1, 2, B5, C5)</f>
        <v>15.822737450429305</v>
      </c>
      <c r="G5">
        <f>BoxMullerGaussian(Configuracion!$B$1, 3, B5, C5)</f>
        <v>20.885140419420186</v>
      </c>
      <c r="H5">
        <f>BoxMullerGaussian(Configuracion!$B$1, 4, B5, C5)</f>
        <v>8.6126564293938515</v>
      </c>
      <c r="I5">
        <f>BoxMullerGaussian(Configuracion!$B$1, 5, B5, C5)</f>
        <v>14.000604362284689</v>
      </c>
      <c r="J5">
        <f>AVERAGE(E5:I5)</f>
        <v>13.378142700335198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J5"/>
  <sheetViews>
    <sheetView workbookViewId="0">
      <selection activeCell="E2" sqref="E2"/>
    </sheetView>
  </sheetViews>
  <sheetFormatPr baseColWidth="10" defaultColWidth="9.14062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>
        <v>40</v>
      </c>
      <c r="C2">
        <v>5</v>
      </c>
      <c r="D2" t="s">
        <v>11</v>
      </c>
      <c r="E2">
        <f>BoxMullerGaussian(Configuracion!$B$1, 1, B2, C2)</f>
        <v>32.801396341310515</v>
      </c>
      <c r="F2">
        <f>BoxMullerGaussian(Configuracion!$B$1, 2, B2, C2)</f>
        <v>41.377856772202534</v>
      </c>
      <c r="G2">
        <f>BoxMullerGaussian(Configuracion!$B$1, 3, B2, C2)</f>
        <v>38.183914067301956</v>
      </c>
      <c r="H2">
        <f>BoxMullerGaussian(Configuracion!$B$1, 4, B2, C2)</f>
        <v>49.630945878746516</v>
      </c>
      <c r="I2">
        <f>BoxMullerGaussian(Configuracion!$B$1, 5, B2, C2)</f>
        <v>38.21788043052247</v>
      </c>
      <c r="J2">
        <f>AVERAGE(E2:I2)</f>
        <v>40.042398698016804</v>
      </c>
    </row>
    <row r="3" spans="1:10" x14ac:dyDescent="0.25">
      <c r="A3" t="s">
        <v>12</v>
      </c>
      <c r="B3">
        <v>30</v>
      </c>
      <c r="C3">
        <v>5</v>
      </c>
      <c r="D3" t="s">
        <v>13</v>
      </c>
      <c r="E3">
        <f>BoxMullerGaussian(Configuracion!$B$1, 1, B3, C3)</f>
        <v>35.864587805957477</v>
      </c>
      <c r="F3">
        <f>BoxMullerGaussian(Configuracion!$B$1, 2, B3, C3)</f>
        <v>22.032372609283527</v>
      </c>
      <c r="G3">
        <f>BoxMullerGaussian(Configuracion!$B$1, 3, B3, C3)</f>
        <v>32.316953623044824</v>
      </c>
      <c r="H3">
        <f>BoxMullerGaussian(Configuracion!$B$1, 4, B3, C3)</f>
        <v>35.122758166138176</v>
      </c>
      <c r="I3">
        <f>BoxMullerGaussian(Configuracion!$B$1, 5, B3, C3)</f>
        <v>31.133077736773242</v>
      </c>
      <c r="J3">
        <f>AVERAGE(E3:I3)</f>
        <v>31.293949988239444</v>
      </c>
    </row>
    <row r="4" spans="1:10" x14ac:dyDescent="0.25">
      <c r="A4" t="s">
        <v>14</v>
      </c>
      <c r="B4">
        <v>20</v>
      </c>
      <c r="C4">
        <v>3</v>
      </c>
      <c r="D4" t="s">
        <v>15</v>
      </c>
      <c r="E4">
        <f>BoxMullerGaussian(Configuracion!$B$1, 1, B4, C4)</f>
        <v>19.111001301039664</v>
      </c>
      <c r="F4">
        <f>BoxMullerGaussian(Configuracion!$B$1, 2, B4, C4)</f>
        <v>16.141644219152212</v>
      </c>
      <c r="G4">
        <f>BoxMullerGaussian(Configuracion!$B$1, 3, B4, C4)</f>
        <v>18.716008195586241</v>
      </c>
      <c r="H4">
        <f>BoxMullerGaussian(Configuracion!$B$1, 4, B4, C4)</f>
        <v>13.243091619979943</v>
      </c>
      <c r="I4">
        <f>BoxMullerGaussian(Configuracion!$B$1, 5, B4, C4)</f>
        <v>22.558586214938451</v>
      </c>
      <c r="J4">
        <f>AVERAGE(E4:I4)</f>
        <v>17.954066310139304</v>
      </c>
    </row>
    <row r="5" spans="1:10" x14ac:dyDescent="0.25">
      <c r="A5" t="s">
        <v>16</v>
      </c>
      <c r="B5">
        <v>15</v>
      </c>
      <c r="C5">
        <v>4</v>
      </c>
      <c r="D5" t="s">
        <v>17</v>
      </c>
      <c r="E5">
        <f>BoxMullerGaussian(Configuracion!$B$1, 1, B5, C5)</f>
        <v>15.523347250731033</v>
      </c>
      <c r="F5">
        <f>BoxMullerGaussian(Configuracion!$B$1, 2, B5, C5)</f>
        <v>17.630502844078485</v>
      </c>
      <c r="G5">
        <f>BoxMullerGaussian(Configuracion!$B$1, 3, B5, C5)</f>
        <v>11.064095584509396</v>
      </c>
      <c r="H5">
        <f>BoxMullerGaussian(Configuracion!$B$1, 4, B5, C5)</f>
        <v>13.529325083321698</v>
      </c>
      <c r="I5">
        <f>BoxMullerGaussian(Configuracion!$B$1, 5, B5, C5)</f>
        <v>17.427667743534229</v>
      </c>
      <c r="J5">
        <f>AVERAGE(E5:I5)</f>
        <v>15.034987701234968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J5"/>
  <sheetViews>
    <sheetView workbookViewId="0">
      <selection activeCell="F3" sqref="F3"/>
    </sheetView>
  </sheetViews>
  <sheetFormatPr baseColWidth="10" defaultColWidth="9.14062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>
        <v>40</v>
      </c>
      <c r="C2">
        <v>5</v>
      </c>
      <c r="D2" t="s">
        <v>11</v>
      </c>
      <c r="E2">
        <f>BoxMullerGaussian(Configuracion!$B$1, 1, B2, C2)</f>
        <v>37.907622489840868</v>
      </c>
      <c r="F2">
        <f>BoxMullerGaussian(Configuracion!$B$1, 2, B2, C2)</f>
        <v>41.518816739122748</v>
      </c>
      <c r="G2">
        <f>BoxMullerGaussian(Configuracion!$B$1, 3, B2, C2)</f>
        <v>41.044670368079721</v>
      </c>
      <c r="H2">
        <f>BoxMullerGaussian(Configuracion!$B$1, 4, B2, C2)</f>
        <v>42.541487486458344</v>
      </c>
      <c r="I2">
        <f>BoxMullerGaussian(Configuracion!$B$1, 5, B2, C2)</f>
        <v>41.680635534838309</v>
      </c>
      <c r="J2">
        <f>AVERAGE(E2:I2)</f>
        <v>40.938646523667998</v>
      </c>
    </row>
    <row r="3" spans="1:10" x14ac:dyDescent="0.25">
      <c r="A3" t="s">
        <v>12</v>
      </c>
      <c r="B3">
        <v>30</v>
      </c>
      <c r="C3">
        <v>5</v>
      </c>
      <c r="D3" t="s">
        <v>13</v>
      </c>
      <c r="E3">
        <f>BoxMullerGaussian(Configuracion!$B$1, 1, B3, C3)</f>
        <v>30.555489046732909</v>
      </c>
      <c r="F3">
        <f>BoxMullerGaussian(Configuracion!$B$1, 2, B3, C3)</f>
        <v>33.12213398190066</v>
      </c>
      <c r="G3">
        <f>BoxMullerGaussian(Configuracion!$B$1, 3, B3, C3)</f>
        <v>28.285225662152641</v>
      </c>
      <c r="H3">
        <f>BoxMullerGaussian(Configuracion!$B$1, 4, B3, C3)</f>
        <v>23.510226861912805</v>
      </c>
      <c r="I3">
        <f>BoxMullerGaussian(Configuracion!$B$1, 5, B3, C3)</f>
        <v>36.795529187596884</v>
      </c>
      <c r="J3">
        <f>AVERAGE(E3:I3)</f>
        <v>30.453720948059178</v>
      </c>
    </row>
    <row r="4" spans="1:10" x14ac:dyDescent="0.25">
      <c r="A4" t="s">
        <v>14</v>
      </c>
      <c r="B4">
        <v>20</v>
      </c>
      <c r="C4">
        <v>3</v>
      </c>
      <c r="D4" t="s">
        <v>15</v>
      </c>
      <c r="E4">
        <f>BoxMullerGaussian(Configuracion!$B$1, 1, B4, C4)</f>
        <v>20.776151354123655</v>
      </c>
      <c r="F4">
        <f>BoxMullerGaussian(Configuracion!$B$1, 2, B4, C4)</f>
        <v>17.377950062809109</v>
      </c>
      <c r="G4">
        <f>BoxMullerGaussian(Configuracion!$B$1, 3, B4, C4)</f>
        <v>22.020273870626497</v>
      </c>
      <c r="H4">
        <f>BoxMullerGaussian(Configuracion!$B$1, 4, B4, C4)</f>
        <v>15.126496972212145</v>
      </c>
      <c r="I4">
        <f>BoxMullerGaussian(Configuracion!$B$1, 5, B4, C4)</f>
        <v>22.31730591530075</v>
      </c>
      <c r="J4">
        <f>AVERAGE(E4:I4)</f>
        <v>19.523635635014433</v>
      </c>
    </row>
    <row r="5" spans="1:10" x14ac:dyDescent="0.25">
      <c r="A5" t="s">
        <v>16</v>
      </c>
      <c r="B5">
        <v>15</v>
      </c>
      <c r="C5">
        <v>4</v>
      </c>
      <c r="D5" t="s">
        <v>17</v>
      </c>
      <c r="E5">
        <f>BoxMullerGaussian(Configuracion!$B$1, 1, B5, C5)</f>
        <v>9.9481095494610603</v>
      </c>
      <c r="F5">
        <f>BoxMullerGaussian(Configuracion!$B$1, 2, B5, C5)</f>
        <v>15.491647441367775</v>
      </c>
      <c r="G5">
        <f>BoxMullerGaussian(Configuracion!$B$1, 3, B5, C5)</f>
        <v>13.281932751575498</v>
      </c>
      <c r="H5">
        <f>BoxMullerGaussian(Configuracion!$B$1, 4, B5, C5)</f>
        <v>9.9642242309837581</v>
      </c>
      <c r="I5">
        <f>BoxMullerGaussian(Configuracion!$B$1, 5, B5, C5)</f>
        <v>16.184451921527771</v>
      </c>
      <c r="J5">
        <f>AVERAGE(E5:I5)</f>
        <v>12.974073178983172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J5"/>
  <sheetViews>
    <sheetView workbookViewId="0">
      <selection activeCell="F2" sqref="F2"/>
    </sheetView>
  </sheetViews>
  <sheetFormatPr baseColWidth="10" defaultColWidth="9.14062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>
        <v>40</v>
      </c>
      <c r="C2">
        <v>5</v>
      </c>
      <c r="D2" t="s">
        <v>11</v>
      </c>
      <c r="E2">
        <f>BoxMullerGaussian(Configuracion!$B$1, 1, B2, C2)</f>
        <v>40.762770393485802</v>
      </c>
      <c r="F2">
        <f>BoxMullerGaussian(Configuracion!$B$1, 2, B2, C2)</f>
        <v>28.755909529985136</v>
      </c>
      <c r="G2">
        <f>BoxMullerGaussian(Configuracion!$B$1, 3, B2, C2)</f>
        <v>44.636759330829932</v>
      </c>
      <c r="H2">
        <f>BoxMullerGaussian(Configuracion!$B$1, 4, B2, C2)</f>
        <v>48.139111372911152</v>
      </c>
      <c r="I2">
        <f>BoxMullerGaussian(Configuracion!$B$1, 5, B2, C2)</f>
        <v>42.314029958504207</v>
      </c>
      <c r="J2">
        <f>AVERAGE(E2:I2)</f>
        <v>40.921716117143248</v>
      </c>
    </row>
    <row r="3" spans="1:10" x14ac:dyDescent="0.25">
      <c r="A3" t="s">
        <v>12</v>
      </c>
      <c r="B3">
        <v>30</v>
      </c>
      <c r="C3">
        <v>5</v>
      </c>
      <c r="D3" t="s">
        <v>13</v>
      </c>
      <c r="E3">
        <f>BoxMullerGaussian(Configuracion!$B$1, 1, B3, C3)</f>
        <v>35.47470540899355</v>
      </c>
      <c r="F3">
        <f>BoxMullerGaussian(Configuracion!$B$1, 2, B3, C3)</f>
        <v>40.637389529779668</v>
      </c>
      <c r="G3">
        <f>BoxMullerGaussian(Configuracion!$B$1, 3, B3, C3)</f>
        <v>25.220231772307528</v>
      </c>
      <c r="H3">
        <f>BoxMullerGaussian(Configuracion!$B$1, 4, B3, C3)</f>
        <v>27.744892617126371</v>
      </c>
      <c r="I3">
        <f>BoxMullerGaussian(Configuracion!$B$1, 5, B3, C3)</f>
        <v>32.1432076577426</v>
      </c>
      <c r="J3">
        <f>AVERAGE(E3:I3)</f>
        <v>32.244085397189949</v>
      </c>
    </row>
    <row r="4" spans="1:10" x14ac:dyDescent="0.25">
      <c r="A4" t="s">
        <v>14</v>
      </c>
      <c r="B4">
        <v>20</v>
      </c>
      <c r="C4">
        <v>3</v>
      </c>
      <c r="D4" t="s">
        <v>15</v>
      </c>
      <c r="E4">
        <f>BoxMullerGaussian(Configuracion!$B$1, 1, B4, C4)</f>
        <v>18.611362976853616</v>
      </c>
      <c r="F4">
        <f>BoxMullerGaussian(Configuracion!$B$1, 2, B4, C4)</f>
        <v>19.407800894855157</v>
      </c>
      <c r="G4">
        <f>BoxMullerGaussian(Configuracion!$B$1, 3, B4, C4)</f>
        <v>20.862228993504193</v>
      </c>
      <c r="H4">
        <f>BoxMullerGaussian(Configuracion!$B$1, 4, B4, C4)</f>
        <v>21.423807194535364</v>
      </c>
      <c r="I4">
        <f>BoxMullerGaussian(Configuracion!$B$1, 5, B4, C4)</f>
        <v>20.628126606948129</v>
      </c>
      <c r="J4">
        <f>AVERAGE(E4:I4)</f>
        <v>20.186665333339292</v>
      </c>
    </row>
    <row r="5" spans="1:10" x14ac:dyDescent="0.25">
      <c r="A5" t="s">
        <v>16</v>
      </c>
      <c r="B5">
        <v>15</v>
      </c>
      <c r="C5">
        <v>4</v>
      </c>
      <c r="D5" t="s">
        <v>17</v>
      </c>
      <c r="E5">
        <f>BoxMullerGaussian(Configuracion!$B$1, 1, B5, C5)</f>
        <v>19.475268596273587</v>
      </c>
      <c r="F5">
        <f>BoxMullerGaussian(Configuracion!$B$1, 2, B5, C5)</f>
        <v>13.045903495710318</v>
      </c>
      <c r="G5">
        <f>BoxMullerGaussian(Configuracion!$B$1, 3, B5, C5)</f>
        <v>14.318649328163586</v>
      </c>
      <c r="H5">
        <f>BoxMullerGaussian(Configuracion!$B$1, 4, B5, C5)</f>
        <v>16.931173847824372</v>
      </c>
      <c r="I5">
        <f>BoxMullerGaussian(Configuracion!$B$1, 5, B5, C5)</f>
        <v>24.35067383296472</v>
      </c>
      <c r="J5">
        <f>AVERAGE(E5:I5)</f>
        <v>17.624333820187317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J5"/>
  <sheetViews>
    <sheetView workbookViewId="0"/>
  </sheetViews>
  <sheetFormatPr baseColWidth="10" defaultColWidth="9.14062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>
        <v>40</v>
      </c>
      <c r="C2">
        <v>5</v>
      </c>
      <c r="D2" t="s">
        <v>11</v>
      </c>
      <c r="E2">
        <f>BoxMullerGaussian(Configuracion!$B$1, 1, B2, C2)</f>
        <v>35.70370282512895</v>
      </c>
      <c r="F2">
        <f>BoxMullerGaussian(Configuracion!$B$1, 2, B2, C2)</f>
        <v>45.463568922059991</v>
      </c>
      <c r="G2">
        <f>BoxMullerGaussian(Configuracion!$B$1, 3, B2, C2)</f>
        <v>34.783093331535639</v>
      </c>
      <c r="H2">
        <f>BoxMullerGaussian(Configuracion!$B$1, 4, B2, C2)</f>
        <v>37.439350735213857</v>
      </c>
      <c r="I2">
        <f>BoxMullerGaussian(Configuracion!$B$1, 5, B2, C2)</f>
        <v>49.263664473982303</v>
      </c>
      <c r="J2">
        <f>AVERAGE(E2:I2)</f>
        <v>40.530676057584152</v>
      </c>
    </row>
    <row r="3" spans="1:10" x14ac:dyDescent="0.25">
      <c r="A3" t="s">
        <v>12</v>
      </c>
      <c r="B3">
        <v>30</v>
      </c>
      <c r="C3">
        <v>5</v>
      </c>
      <c r="D3" t="s">
        <v>13</v>
      </c>
      <c r="E3">
        <f>BoxMullerGaussian(Configuracion!$B$1, 1, B3, C3)</f>
        <v>34.850530215103909</v>
      </c>
      <c r="F3">
        <f>BoxMullerGaussian(Configuracion!$B$1, 2, B3, C3)</f>
        <v>35.937308839503267</v>
      </c>
      <c r="G3">
        <f>BoxMullerGaussian(Configuracion!$B$1, 3, B3, C3)</f>
        <v>29.69729480643668</v>
      </c>
      <c r="H3">
        <f>BoxMullerGaussian(Configuracion!$B$1, 4, B3, C3)</f>
        <v>31.291875328425249</v>
      </c>
      <c r="I3">
        <f>BoxMullerGaussian(Configuracion!$B$1, 5, B3, C3)</f>
        <v>45.960949681484315</v>
      </c>
      <c r="J3">
        <f>AVERAGE(E3:I3)</f>
        <v>35.547591774190685</v>
      </c>
    </row>
    <row r="4" spans="1:10" x14ac:dyDescent="0.25">
      <c r="A4" t="s">
        <v>14</v>
      </c>
      <c r="B4">
        <v>20</v>
      </c>
      <c r="C4">
        <v>3</v>
      </c>
      <c r="D4" t="s">
        <v>15</v>
      </c>
      <c r="E4">
        <f>BoxMullerGaussian(Configuracion!$B$1, 1, B4, C4)</f>
        <v>23.231328460917283</v>
      </c>
      <c r="F4">
        <f>BoxMullerGaussian(Configuracion!$B$1, 2, B4, C4)</f>
        <v>22.545853207718473</v>
      </c>
      <c r="G4">
        <f>BoxMullerGaussian(Configuracion!$B$1, 3, B4, C4)</f>
        <v>22.211853405247783</v>
      </c>
      <c r="H4">
        <f>BoxMullerGaussian(Configuracion!$B$1, 4, B4, C4)</f>
        <v>23.370867838692448</v>
      </c>
      <c r="I4">
        <f>BoxMullerGaussian(Configuracion!$B$1, 5, B4, C4)</f>
        <v>20.75815729896669</v>
      </c>
      <c r="J4">
        <f>AVERAGE(E4:I4)</f>
        <v>22.423612042308537</v>
      </c>
    </row>
    <row r="5" spans="1:10" x14ac:dyDescent="0.25">
      <c r="A5" t="s">
        <v>16</v>
      </c>
      <c r="B5">
        <v>15</v>
      </c>
      <c r="C5">
        <v>4</v>
      </c>
      <c r="D5" t="s">
        <v>17</v>
      </c>
      <c r="E5">
        <f>BoxMullerGaussian(Configuracion!$B$1, 1, B5, C5)</f>
        <v>18.088264016309452</v>
      </c>
      <c r="F5">
        <f>BoxMullerGaussian(Configuracion!$B$1, 2, B5, C5)</f>
        <v>9.5832975108456502</v>
      </c>
      <c r="G5">
        <f>BoxMullerGaussian(Configuracion!$B$1, 3, B5, C5)</f>
        <v>12.863022294561665</v>
      </c>
      <c r="H5">
        <f>BoxMullerGaussian(Configuracion!$B$1, 4, B5, C5)</f>
        <v>17.100471613717371</v>
      </c>
      <c r="I5">
        <f>BoxMullerGaussian(Configuracion!$B$1, 5, B5, C5)</f>
        <v>12.272689548022269</v>
      </c>
      <c r="J5">
        <f>AVERAGE(E5:I5)</f>
        <v>13.981548996691282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1"/>
  <sheetViews>
    <sheetView tabSelected="1" workbookViewId="0"/>
  </sheetViews>
  <sheetFormatPr baseColWidth="10" defaultColWidth="9.140625" defaultRowHeight="15" x14ac:dyDescent="0.25"/>
  <sheetData>
    <row r="1" spans="1:2" x14ac:dyDescent="0.25">
      <c r="A1" t="s">
        <v>18</v>
      </c>
      <c r="B1">
        <v>123456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Nacional</vt:lpstr>
      <vt:lpstr>La Paz</vt:lpstr>
      <vt:lpstr>Cochabamba</vt:lpstr>
      <vt:lpstr>Santa Cruz</vt:lpstr>
      <vt:lpstr>Chuquisaca</vt:lpstr>
      <vt:lpstr>Tarija</vt:lpstr>
      <vt:lpstr>Potosí</vt:lpstr>
      <vt:lpstr>Beni</vt:lpstr>
      <vt:lpstr>Pando</vt:lpstr>
      <vt:lpstr>Oruro</vt:lpstr>
      <vt:lpstr>Configuracion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publica</cp:lastModifiedBy>
  <dcterms:created xsi:type="dcterms:W3CDTF">2025-05-21T14:04:56Z</dcterms:created>
  <dcterms:modified xsi:type="dcterms:W3CDTF">2025-05-21T13:41:45Z</dcterms:modified>
</cp:coreProperties>
</file>